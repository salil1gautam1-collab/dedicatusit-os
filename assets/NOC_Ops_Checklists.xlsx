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icket Workflow" sheetId="2" state="visible" r:id="rId4"/>
    <sheet name="Change &amp; Reboot" sheetId="3" state="visible" r:id="rId5"/>
    <sheet name="Work Completion" sheetId="4" state="visible" r:id="rId6"/>
    <sheet name="Security &amp; Data" sheetId="5" state="visible" r:id="rId7"/>
    <sheet name="Shift Handover" sheetId="6" state="visible" r:id="rId8"/>
    <sheet name="Escalation Matrix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<sst xmlns="http://schemas.openxmlformats.org/spreadsheetml/2006/main" count="161" uniqueCount="129">
  <si>
    <t xml:space="preserve">Universal NOC &amp; Service-Desk Checklists</t>
  </si>
  <si>
    <t xml:space="preserve">Tick-as-you-go checklists every engineer can run on every ticket and every shift. General good practice — adapt the tool names and windows to your own PSA, RMM and contracts.</t>
  </si>
  <si>
    <t xml:space="preserve">Universal sheets (everyone): Ticket Workflow, Change &amp; Reboot, Work Completion, Security &amp; Data, Shift Handover, Escalation Matrix.</t>
  </si>
  <si>
    <t xml:space="preserve">Rule of the house: if a checklist and your instinct disagree, stop and consult your lead. The checklist exists because someone learned the hard way.</t>
  </si>
  <si>
    <t xml:space="preserve">Shared by DedicatusIT · built from NOC operating practice (ex-ConnectWise).</t>
  </si>
  <si>
    <t xml:space="preserve">Work-a-ticket checklist — run on every ticket</t>
  </si>
  <si>
    <t xml:space="preserve">Top block before you touch anything; middle block is the work; bottom block protects you and the client. Copy answers into the worknotes.</t>
  </si>
  <si>
    <t xml:space="preserve">Item</t>
  </si>
  <si>
    <t xml:space="preserve">Done?</t>
  </si>
  <si>
    <t xml:space="preserve">BEFORE YOU TOUCH ANYTHING</t>
  </si>
  <si>
    <t xml:space="preserve">Read the full ticket: notes, prior worknotes, attachments, linked tickets</t>
  </si>
  <si>
    <t xml:space="preserve">Verify the requester's identity before acting on any account, access or data request</t>
  </si>
  <si>
    <t xml:space="preserve">Check preapprovals: access level, site plan, escalation matrix, maintenance window</t>
  </si>
  <si>
    <t xml:space="preserve">Set the ticket to Work In Progress (except scheduled tickets)</t>
  </si>
  <si>
    <t xml:space="preserve">State the objective in one line in your worknote; if unclear, consult before acting</t>
  </si>
  <si>
    <t xml:space="preserve">Check related alerts and tickets for this system over the last 7, 15 and 30 days</t>
  </si>
  <si>
    <t xml:space="preserve">Check event logs and error history: how old, how frequent is this issue</t>
  </si>
  <si>
    <t xml:space="preserve">Repeat issue across multiple tickets: do the deep analysis, raise a problem record</t>
  </si>
  <si>
    <t xml:space="preserve">Scheduled ticket: check time remaining; involve the lead if the window is short</t>
  </si>
  <si>
    <t xml:space="preserve">DURING THE WORK</t>
  </si>
  <si>
    <t xml:space="preserve">Write an action plan before executing; for risky steps, note the rollback first</t>
  </si>
  <si>
    <t xml:space="preserve">Verify credentials and access at every hop; any failure goes to the on-shift lead</t>
  </si>
  <si>
    <t xml:space="preserve">Least privilege: use the lowest access that does the job; never share credentials</t>
  </si>
  <si>
    <t xml:space="preserve">Stay inside the change window for anything service-affecting</t>
  </si>
  <si>
    <t xml:space="preserve">Update the requester at agreed intervals, even when there's no news</t>
  </si>
  <si>
    <t xml:space="preserve">BEFORE YOU LOG OFF</t>
  </si>
  <si>
    <t xml:space="preserve">Revert temporary changes: elevated rights, test accounts, firewall openings, debug logging</t>
  </si>
  <si>
    <t xml:space="preserve">Confirm services and functionality post-change; evidence it in the worknote</t>
  </si>
  <si>
    <t xml:space="preserve">No personal data in worknotes beyond what the ticket needs; never paste passwords, OTPs or full IDs</t>
  </si>
  <si>
    <t xml:space="preserve">Log your actual time worked on the ticket</t>
  </si>
  <si>
    <t xml:space="preserve">COMPLETION</t>
  </si>
  <si>
    <t xml:space="preserve">Items marked Yes</t>
  </si>
  <si>
    <t xml:space="preserve">Applicable (Yes + No)</t>
  </si>
  <si>
    <t xml:space="preserve">Completion</t>
  </si>
  <si>
    <t xml:space="preserve">Status</t>
  </si>
  <si>
    <t xml:space="preserve">Change &amp; reboot checklist — any restart or service-affecting change</t>
  </si>
  <si>
    <t xml:space="preserve">A reboot is a change. Hosts and VMs are different animals. The notice board exists so nobody else panics.</t>
  </si>
  <si>
    <t xml:space="preserve">Are you inside the approved reboot or maintenance window?</t>
  </si>
  <si>
    <t xml:space="preserve">System info recorded: virtual or physical, host or guest, role of the box</t>
  </si>
  <si>
    <t xml:space="preserve">Hypervisor host or physical server: notice created for the host and its VMs</t>
  </si>
  <si>
    <t xml:space="preserve">Hypervisor host: all VMs shut down or migrated before reboot</t>
  </si>
  <si>
    <t xml:space="preserve">Host restarted: every VM started afterwards and verified</t>
  </si>
  <si>
    <t xml:space="preserve">Credentials checked at all places before starting</t>
  </si>
  <si>
    <t xml:space="preserve">Reboot reason recorded in the ticket</t>
  </si>
  <si>
    <t xml:space="preserve">Current time and time zone on the server confirmed (business vs non-business hours)</t>
  </si>
  <si>
    <t xml:space="preserve">Backup or snapshot point confirmed before risky changes; restore path known</t>
  </si>
  <si>
    <t xml:space="preserve">Post-reboot: services, roles and functionality checked (script where available) and evidenced</t>
  </si>
  <si>
    <t xml:space="preserve">Any temporary steps reverted before log off</t>
  </si>
  <si>
    <t xml:space="preserve">In doubt at any point: lead contacted before, not after</t>
  </si>
  <si>
    <t xml:space="preserve">Total time worked logged</t>
  </si>
  <si>
    <t xml:space="preserve">Closure checklist — before any ticket is resolved</t>
  </si>
  <si>
    <t xml:space="preserve">A ticket closes when the user agrees it is fixed and the next engineer could understand what happened — not when the work stops.</t>
  </si>
  <si>
    <t xml:space="preserve">Resolution written so the next engineer can follow it; never only 'as discussed' or 'done'</t>
  </si>
  <si>
    <t xml:space="preserve">Root cause stated if known; if unknown, say so and what was ruled out</t>
  </si>
  <si>
    <t xml:space="preserve">User or requester confirmed the fix (or two documented attempts to reach them)</t>
  </si>
  <si>
    <t xml:space="preserve">Categorisation and priority correct at closure (reporting depends on it)</t>
  </si>
  <si>
    <t xml:space="preserve">Knowledge base: article created or updated if this will recur</t>
  </si>
  <si>
    <t xml:space="preserve">Temporary access removed, elevated rights reverted, test artefacts cleaned</t>
  </si>
  <si>
    <t xml:space="preserve">Asset register / CMDB updated if anything about the asset changed</t>
  </si>
  <si>
    <t xml:space="preserve">Time logged honestly; the sizing of the whole team depends on real numbers</t>
  </si>
  <si>
    <t xml:space="preserve">Linked alerts closed or correlated; monitoring back to green</t>
  </si>
  <si>
    <t xml:space="preserve">Security &amp; data protection — the always-on checklist</t>
  </si>
  <si>
    <t xml:space="preserve">Work inside the client's environment and the data-protection law that applies to them (e.g. GDPR, DPDP, state privacy laws). Regulated data (health/HIPAA-class, payment/PCI-class) rides on top. Unsure? Treat it as personal and ask.</t>
  </si>
  <si>
    <t xml:space="preserve">IDENTITY AND ACCESS</t>
  </si>
  <si>
    <t xml:space="preserve">Verify identity before any password reset, access grant or data action; no exceptions for seniority or urgency</t>
  </si>
  <si>
    <t xml:space="preserve">MFA never bypassed or shared; OTPs never asked for or written in tickets</t>
  </si>
  <si>
    <t xml:space="preserve">Least privilege always; access requests follow the approval matrix, never verbal-only</t>
  </si>
  <si>
    <t xml:space="preserve">Joiner-mover-leaver actions completed same day; leaver access removed before close of business</t>
  </si>
  <si>
    <t xml:space="preserve">DATA HANDLING</t>
  </si>
  <si>
    <t xml:space="preserve">Collect and view only the personal data the ticket needs (purpose limitation)</t>
  </si>
  <si>
    <t xml:space="preserve">No client data on personal devices, personal email, personal cloud or chat apps, ever</t>
  </si>
  <si>
    <t xml:space="preserve">No real personal data in test systems, screenshots or KB articles; mask names, IDs, contacts</t>
  </si>
  <si>
    <t xml:space="preserve">Data leaves client systems only by approved, encrypted channels; never export 'to work faster'</t>
  </si>
  <si>
    <t xml:space="preserve">Personal data breach or suspicion: report to the manager immediately; the reporting clock starts at discovery</t>
  </si>
  <si>
    <t xml:space="preserve">Erasure / correction requests from users: never action directly; route to the manager and the client's data officer</t>
  </si>
  <si>
    <t xml:space="preserve">REGULATED DATA</t>
  </si>
  <si>
    <t xml:space="preserve">Health-related data: minimum necessary access, never copied out, breaches escalated immediately</t>
  </si>
  <si>
    <t xml:space="preserve">Payment data: never stored, never written in tickets, screens masked</t>
  </si>
  <si>
    <t xml:space="preserve">EVERYDAY VIGILANCE</t>
  </si>
  <si>
    <t xml:space="preserve">Lock the screen every time you stand up; clean desk for anything printed</t>
  </si>
  <si>
    <t xml:space="preserve">Phishing or social-engineering attempt (including callers pretending to be staff): report it, don't test it</t>
  </si>
  <si>
    <t xml:space="preserve">Software installed only from approved sources; no unauthorised tools or extensions on client systems</t>
  </si>
  <si>
    <t xml:space="preserve">Removable media: blocked by policy, never bypassed</t>
  </si>
  <si>
    <t xml:space="preserve">Security alerts never closed as noise without approved, documented tuning</t>
  </si>
  <si>
    <t xml:space="preserve">Shift handover checklist — a shift isn't over until its handover is written</t>
  </si>
  <si>
    <t xml:space="preserve">The handover is the difference between the next person starting clean and starting by calling you.</t>
  </si>
  <si>
    <t xml:space="preserve">SHIFT START</t>
  </si>
  <si>
    <t xml:space="preserve">Read the previous handover before anything else</t>
  </si>
  <si>
    <t xml:space="preserve">Review your queue; sort by breach risk and impact</t>
  </si>
  <si>
    <t xml:space="preserve">Scan the alerts on your systems; note anything mid-incident</t>
  </si>
  <si>
    <t xml:space="preserve">Confirm any scheduled windows or changes due on your shift</t>
  </si>
  <si>
    <t xml:space="preserve">THROUGH THE SHIFT</t>
  </si>
  <si>
    <t xml:space="preserve">Keep the handover note open; add to it as things happen</t>
  </si>
  <si>
    <t xml:space="preserve">Flag anything you won't finish so it doesn't fall through the cracks</t>
  </si>
  <si>
    <t xml:space="preserve">Update the requester at agreed intervals on anything open</t>
  </si>
  <si>
    <t xml:space="preserve">SHIFT END</t>
  </si>
  <si>
    <t xml:space="preserve">Write the handover so the next person can start without calling you: open items, who's waiting on what, anything promised, anything odd</t>
  </si>
  <si>
    <t xml:space="preserve">Hand over any in-flight P1/P2 incident by call, not just in writing</t>
  </si>
  <si>
    <t xml:space="preserve">End-of-shift note to the lead: completed work, pending items, anything unusual</t>
  </si>
  <si>
    <t xml:space="preserve">Escalation matrix — template</t>
  </si>
  <si>
    <t xml:space="preserve">Escalate early, with evidence: attempts, logs, timeline. Fill in real names and contacts at onboarding.</t>
  </si>
  <si>
    <t xml:space="preserve">Trigger / situation</t>
  </si>
  <si>
    <t xml:space="preserve">Notify</t>
  </si>
  <si>
    <t xml:space="preserve">How</t>
  </si>
  <si>
    <t xml:space="preserve">When</t>
  </si>
  <si>
    <t xml:space="preserve">P1 / P2 at breach risk</t>
  </si>
  <si>
    <t xml:space="preserve">On-shift lead + on-call tower engineer</t>
  </si>
  <si>
    <t xml:space="preserve">Call</t>
  </si>
  <si>
    <t xml:space="preserve">Immediately</t>
  </si>
  <si>
    <t xml:space="preserve">Credential or access failure</t>
  </si>
  <si>
    <t xml:space="preserve">On-shift lead</t>
  </si>
  <si>
    <t xml:space="preserve">Call / message</t>
  </si>
  <si>
    <t xml:space="preserve">Before retrying</t>
  </si>
  <si>
    <t xml:space="preserve">Suspected security incident or data breach</t>
  </si>
  <si>
    <t xml:space="preserve">Manager + client security contact</t>
  </si>
  <si>
    <t xml:space="preserve">Call, then written</t>
  </si>
  <si>
    <t xml:space="preserve">Change going wrong mid-window</t>
  </si>
  <si>
    <t xml:space="preserve">On-call tower engineer + manager</t>
  </si>
  <si>
    <t xml:space="preserve">Before improvising</t>
  </si>
  <si>
    <t xml:space="preserve">Unhappy client or VIP</t>
  </si>
  <si>
    <t xml:space="preserve">Service delivery manager</t>
  </si>
  <si>
    <t xml:space="preserve">Within the hour</t>
  </si>
  <si>
    <t xml:space="preserve">Unclear objective after reading everything</t>
  </si>
  <si>
    <t xml:space="preserve">Your lead</t>
  </si>
  <si>
    <t xml:space="preserve">Message / call</t>
  </si>
  <si>
    <t xml:space="preserve">Before acting</t>
  </si>
  <si>
    <t xml:space="preserve">A scheduled window about to lapse</t>
  </si>
  <si>
    <t xml:space="preserve">Message</t>
  </si>
  <si>
    <t xml:space="preserve">Before it closes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</si>
</sst>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203A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1203A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E7C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C66"/>
        <bgColor rgb="FF008080"/>
      </patternFill>
    </fill>
    <fill>
      <patternFill patternType="solid">
        <fgColor rgb="FF11203A"/>
        <bgColor rgb="FF333333"/>
      </patternFill>
    </fill>
    <fill>
      <patternFill patternType="solid">
        <fgColor rgb="FFEAF3EF"/>
        <bgColor rgb="FFE4E7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C0C0C0"/>
      <rgbColor rgb="FF808080"/>
      <rgbColor rgb="FF9999FF"/>
      <rgbColor rgb="FF993366"/>
      <rgbColor rgb="FFEAF3EF"/>
      <rgbColor rgb="FFE4E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11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5" customFormat="false" ht="23.85" hidden="false" customHeight="false" outlineLevel="0" collapsed="false">
      <c r="A5" s="2" t="s">
        <v>2</v>
      </c>
    </row>
    <row r="7" customFormat="false" ht="23.85" hidden="false" customHeight="false" outlineLevel="0" collapsed="false">
      <c r="A7" s="2" t="s">
        <v>3</v>
      </c>
    </row>
    <row r="9" customFormat="false" ht="15" hidden="false" customHeight="false" outlineLevel="0" collapsed="false">
      <c r="A9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5</v>
      </c>
      <c r="B1" s="3"/>
    </row>
    <row r="2" customFormat="false" ht="27.75" hidden="false" customHeight="true" outlineLevel="0" collapsed="false">
      <c r="A2" s="4" t="s">
        <v>6</v>
      </c>
      <c r="B2" s="4"/>
    </row>
    <row r="4" customFormat="false" ht="15" hidden="false" customHeight="false" outlineLevel="0" collapsed="false">
      <c r="A4" s="5" t="s">
        <v>7</v>
      </c>
      <c r="B4" s="6" t="s">
        <v>8</v>
      </c>
    </row>
    <row r="5" customFormat="false" ht="15" hidden="false" customHeight="false" outlineLevel="0" collapsed="false">
      <c r="A5" s="7" t="s">
        <v>9</v>
      </c>
      <c r="B5" s="8"/>
    </row>
    <row r="6" customFormat="false" ht="30" hidden="false" customHeight="true" outlineLevel="0" collapsed="false">
      <c r="A6" s="9" t="s">
        <v>10</v>
      </c>
      <c r="B6" s="10"/>
    </row>
    <row r="7" customFormat="false" ht="30" hidden="false" customHeight="true" outlineLevel="0" collapsed="false">
      <c r="A7" s="11" t="s">
        <v>11</v>
      </c>
      <c r="B7" s="12"/>
    </row>
    <row r="8" customFormat="false" ht="30" hidden="false" customHeight="true" outlineLevel="0" collapsed="false">
      <c r="A8" s="9" t="s">
        <v>12</v>
      </c>
      <c r="B8" s="10"/>
    </row>
    <row r="9" customFormat="false" ht="30" hidden="false" customHeight="true" outlineLevel="0" collapsed="false">
      <c r="A9" s="11" t="s">
        <v>13</v>
      </c>
      <c r="B9" s="12"/>
    </row>
    <row r="10" customFormat="false" ht="30" hidden="false" customHeight="true" outlineLevel="0" collapsed="false">
      <c r="A10" s="9" t="s">
        <v>14</v>
      </c>
      <c r="B10" s="10"/>
    </row>
    <row r="11" customFormat="false" ht="30" hidden="false" customHeight="true" outlineLevel="0" collapsed="false">
      <c r="A11" s="11" t="s">
        <v>15</v>
      </c>
      <c r="B11" s="12"/>
    </row>
    <row r="12" customFormat="false" ht="30" hidden="false" customHeight="true" outlineLevel="0" collapsed="false">
      <c r="A12" s="9" t="s">
        <v>16</v>
      </c>
      <c r="B12" s="10"/>
    </row>
    <row r="13" customFormat="false" ht="30" hidden="false" customHeight="true" outlineLevel="0" collapsed="false">
      <c r="A13" s="11" t="s">
        <v>17</v>
      </c>
      <c r="B13" s="12"/>
    </row>
    <row r="14" customFormat="false" ht="30" hidden="false" customHeight="true" outlineLevel="0" collapsed="false">
      <c r="A14" s="9" t="s">
        <v>18</v>
      </c>
      <c r="B14" s="10"/>
    </row>
    <row r="15" customFormat="false" ht="15" hidden="false" customHeight="false" outlineLevel="0" collapsed="false">
      <c r="A15" s="7" t="s">
        <v>19</v>
      </c>
      <c r="B15" s="8"/>
    </row>
    <row r="16" customFormat="false" ht="30" hidden="false" customHeight="true" outlineLevel="0" collapsed="false">
      <c r="A16" s="9" t="s">
        <v>20</v>
      </c>
      <c r="B16" s="10"/>
    </row>
    <row r="17" customFormat="false" ht="30" hidden="false" customHeight="true" outlineLevel="0" collapsed="false">
      <c r="A17" s="11" t="s">
        <v>21</v>
      </c>
      <c r="B17" s="12"/>
    </row>
    <row r="18" customFormat="false" ht="30" hidden="false" customHeight="true" outlineLevel="0" collapsed="false">
      <c r="A18" s="9" t="s">
        <v>22</v>
      </c>
      <c r="B18" s="10"/>
    </row>
    <row r="19" customFormat="false" ht="30" hidden="false" customHeight="true" outlineLevel="0" collapsed="false">
      <c r="A19" s="11" t="s">
        <v>23</v>
      </c>
      <c r="B19" s="12"/>
    </row>
    <row r="20" customFormat="false" ht="30" hidden="false" customHeight="true" outlineLevel="0" collapsed="false">
      <c r="A20" s="9" t="s">
        <v>24</v>
      </c>
      <c r="B20" s="10"/>
    </row>
    <row r="21" customFormat="false" ht="15" hidden="false" customHeight="false" outlineLevel="0" collapsed="false">
      <c r="A21" s="7" t="s">
        <v>25</v>
      </c>
      <c r="B21" s="8"/>
    </row>
    <row r="22" customFormat="false" ht="30" hidden="false" customHeight="true" outlineLevel="0" collapsed="false">
      <c r="A22" s="9" t="s">
        <v>26</v>
      </c>
      <c r="B22" s="10"/>
    </row>
    <row r="23" customFormat="false" ht="30" hidden="false" customHeight="true" outlineLevel="0" collapsed="false">
      <c r="A23" s="11" t="s">
        <v>27</v>
      </c>
      <c r="B23" s="12"/>
    </row>
    <row r="24" customFormat="false" ht="30" hidden="false" customHeight="true" outlineLevel="0" collapsed="false">
      <c r="A24" s="9" t="s">
        <v>28</v>
      </c>
      <c r="B24" s="10"/>
    </row>
    <row r="25" customFormat="false" ht="30" hidden="false" customHeight="true" outlineLevel="0" collapsed="false">
      <c r="A25" s="11" t="s">
        <v>29</v>
      </c>
      <c r="B25" s="12"/>
    </row>
    <row r="27" customFormat="false" ht="15" hidden="false" customHeight="false" outlineLevel="0" collapsed="false">
      <c r="A27" s="7" t="s">
        <v>30</v>
      </c>
      <c r="B27" s="8"/>
    </row>
    <row r="28" customFormat="false" ht="15" hidden="false" customHeight="false" outlineLevel="0" collapsed="false">
      <c r="A28" s="13" t="s">
        <v>31</v>
      </c>
      <c r="B28" s="14" t="n">
        <f aca="false">COUNTIF(B6:B25,"Yes")</f>
        <v>0</v>
      </c>
    </row>
    <row r="29" customFormat="false" ht="15" hidden="false" customHeight="false" outlineLevel="0" collapsed="false">
      <c r="A29" s="13" t="s">
        <v>32</v>
      </c>
      <c r="B29" s="15" t="n">
        <f aca="false">COUNTIF(B6:B25,"Yes")+COUNTIF(B6:B25,"No")</f>
        <v>0</v>
      </c>
    </row>
    <row r="30" customFormat="false" ht="15" hidden="false" customHeight="false" outlineLevel="0" collapsed="false">
      <c r="A30" s="16" t="s">
        <v>33</v>
      </c>
      <c r="B30" s="17" t="n">
        <f aca="false">IF((COUNTIF(B6:B25,"Yes")+COUNTIF(B6:B25,"No"))=0,0,COUNTIF(B6:B25,"Yes")/(COUNTIF(B6:B25,"Yes")+COUNTIF(B6:B25,"No")))</f>
        <v>0</v>
      </c>
    </row>
    <row r="31" customFormat="false" ht="15" hidden="false" customHeight="false" outlineLevel="0" collapsed="false">
      <c r="A31" s="13" t="s">
        <v>34</v>
      </c>
      <c r="B31" s="14" t="str">
        <f aca="false">IF((COUNTIF(B6:B25,"Yes")+COUNTIF(B6:B25,"No"))=0,"Not started",IF(COUNTIF(B6:B25,"No")&gt;0,"Open items remain","All clear"))</f>
        <v>Not started</v>
      </c>
    </row>
  </sheetData>
  <mergeCells count="2">
    <mergeCell ref="A1:B1"/>
    <mergeCell ref="A2:B2"/>
  </mergeCells>
  <dataValidations count="1">
    <dataValidation allowBlank="true" errorStyle="stop" operator="between" prompt="Mark Yes, No or N/A" promptTitle="Done?" showDropDown="false" showErrorMessage="false" showInputMessage="false" sqref="B6:B14 B16:B20 B22:B25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35</v>
      </c>
      <c r="B1" s="3"/>
    </row>
    <row r="2" customFormat="false" ht="27.75" hidden="false" customHeight="true" outlineLevel="0" collapsed="false">
      <c r="A2" s="4" t="s">
        <v>36</v>
      </c>
      <c r="B2" s="4"/>
    </row>
    <row r="4" customFormat="false" ht="15" hidden="false" customHeight="false" outlineLevel="0" collapsed="false">
      <c r="A4" s="5" t="s">
        <v>7</v>
      </c>
      <c r="B4" s="6" t="s">
        <v>8</v>
      </c>
    </row>
    <row r="5" customFormat="false" ht="30" hidden="false" customHeight="true" outlineLevel="0" collapsed="false">
      <c r="A5" s="11" t="s">
        <v>37</v>
      </c>
      <c r="B5" s="12"/>
    </row>
    <row r="6" customFormat="false" ht="30" hidden="false" customHeight="true" outlineLevel="0" collapsed="false">
      <c r="A6" s="9" t="s">
        <v>38</v>
      </c>
      <c r="B6" s="10"/>
    </row>
    <row r="7" customFormat="false" ht="30" hidden="false" customHeight="true" outlineLevel="0" collapsed="false">
      <c r="A7" s="11" t="s">
        <v>39</v>
      </c>
      <c r="B7" s="12"/>
    </row>
    <row r="8" customFormat="false" ht="30" hidden="false" customHeight="true" outlineLevel="0" collapsed="false">
      <c r="A8" s="9" t="s">
        <v>40</v>
      </c>
      <c r="B8" s="10"/>
    </row>
    <row r="9" customFormat="false" ht="30" hidden="false" customHeight="true" outlineLevel="0" collapsed="false">
      <c r="A9" s="11" t="s">
        <v>41</v>
      </c>
      <c r="B9" s="12"/>
    </row>
    <row r="10" customFormat="false" ht="30" hidden="false" customHeight="true" outlineLevel="0" collapsed="false">
      <c r="A10" s="9" t="s">
        <v>42</v>
      </c>
      <c r="B10" s="10"/>
    </row>
    <row r="11" customFormat="false" ht="30" hidden="false" customHeight="true" outlineLevel="0" collapsed="false">
      <c r="A11" s="11" t="s">
        <v>43</v>
      </c>
      <c r="B11" s="12"/>
    </row>
    <row r="12" customFormat="false" ht="30" hidden="false" customHeight="true" outlineLevel="0" collapsed="false">
      <c r="A12" s="9" t="s">
        <v>44</v>
      </c>
      <c r="B12" s="10"/>
    </row>
    <row r="13" customFormat="false" ht="30" hidden="false" customHeight="true" outlineLevel="0" collapsed="false">
      <c r="A13" s="11" t="s">
        <v>45</v>
      </c>
      <c r="B13" s="12"/>
    </row>
    <row r="14" customFormat="false" ht="30" hidden="false" customHeight="true" outlineLevel="0" collapsed="false">
      <c r="A14" s="9" t="s">
        <v>46</v>
      </c>
      <c r="B14" s="10"/>
    </row>
    <row r="15" customFormat="false" ht="30" hidden="false" customHeight="true" outlineLevel="0" collapsed="false">
      <c r="A15" s="11" t="s">
        <v>47</v>
      </c>
      <c r="B15" s="12"/>
    </row>
    <row r="16" customFormat="false" ht="30" hidden="false" customHeight="true" outlineLevel="0" collapsed="false">
      <c r="A16" s="9" t="s">
        <v>48</v>
      </c>
      <c r="B16" s="10"/>
    </row>
    <row r="17" customFormat="false" ht="30" hidden="false" customHeight="true" outlineLevel="0" collapsed="false">
      <c r="A17" s="11" t="s">
        <v>49</v>
      </c>
      <c r="B17" s="12"/>
    </row>
    <row r="19" customFormat="false" ht="15" hidden="false" customHeight="false" outlineLevel="0" collapsed="false">
      <c r="A19" s="7" t="s">
        <v>30</v>
      </c>
      <c r="B19" s="8"/>
    </row>
    <row r="20" customFormat="false" ht="15" hidden="false" customHeight="false" outlineLevel="0" collapsed="false">
      <c r="A20" s="13" t="s">
        <v>31</v>
      </c>
      <c r="B20" s="14" t="n">
        <f aca="false">COUNTIF(B5:B17,"Yes")</f>
        <v>0</v>
      </c>
    </row>
    <row r="21" customFormat="false" ht="15" hidden="false" customHeight="false" outlineLevel="0" collapsed="false">
      <c r="A21" s="13" t="s">
        <v>32</v>
      </c>
      <c r="B21" s="15" t="n">
        <f aca="false">COUNTIF(B5:B17,"Yes")+COUNTIF(B5:B17,"No")</f>
        <v>0</v>
      </c>
    </row>
    <row r="22" customFormat="false" ht="15" hidden="false" customHeight="false" outlineLevel="0" collapsed="false">
      <c r="A22" s="16" t="s">
        <v>33</v>
      </c>
      <c r="B22" s="17" t="n">
        <f aca="false">IF((COUNTIF(B5:B17,"Yes")+COUNTIF(B5:B17,"No"))=0,0,COUNTIF(B5:B17,"Yes")/(COUNTIF(B5:B17,"Yes")+COUNTIF(B5:B17,"No")))</f>
        <v>0</v>
      </c>
    </row>
    <row r="23" customFormat="false" ht="15" hidden="false" customHeight="false" outlineLevel="0" collapsed="false">
      <c r="A23" s="13" t="s">
        <v>34</v>
      </c>
      <c r="B23" s="14" t="str">
        <f aca="false">IF((COUNTIF(B5:B17,"Yes")+COUNTIF(B5:B17,"No"))=0,"Not started",IF(COUNTIF(B5:B17,"No")&gt;0,"Open items remain","All clear"))</f>
        <v>Not started</v>
      </c>
    </row>
  </sheetData>
  <mergeCells count="2">
    <mergeCell ref="A1:B1"/>
    <mergeCell ref="A2:B2"/>
  </mergeCells>
  <dataValidations count="1">
    <dataValidation allowBlank="true" errorStyle="stop" operator="between" prompt="Mark Yes, No or N/A" promptTitle="Done?" showDropDown="false" showErrorMessage="false" showInputMessage="false" sqref="B5:B17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50</v>
      </c>
      <c r="B1" s="3"/>
    </row>
    <row r="2" customFormat="false" ht="27.75" hidden="false" customHeight="true" outlineLevel="0" collapsed="false">
      <c r="A2" s="4" t="s">
        <v>51</v>
      </c>
      <c r="B2" s="4"/>
    </row>
    <row r="4" customFormat="false" ht="15" hidden="false" customHeight="false" outlineLevel="0" collapsed="false">
      <c r="A4" s="5" t="s">
        <v>7</v>
      </c>
      <c r="B4" s="6" t="s">
        <v>8</v>
      </c>
    </row>
    <row r="5" customFormat="false" ht="30" hidden="false" customHeight="true" outlineLevel="0" collapsed="false">
      <c r="A5" s="11" t="s">
        <v>52</v>
      </c>
      <c r="B5" s="12"/>
    </row>
    <row r="6" customFormat="false" ht="30" hidden="false" customHeight="true" outlineLevel="0" collapsed="false">
      <c r="A6" s="9" t="s">
        <v>53</v>
      </c>
      <c r="B6" s="10"/>
    </row>
    <row r="7" customFormat="false" ht="30" hidden="false" customHeight="true" outlineLevel="0" collapsed="false">
      <c r="A7" s="11" t="s">
        <v>54</v>
      </c>
      <c r="B7" s="12"/>
    </row>
    <row r="8" customFormat="false" ht="30" hidden="false" customHeight="true" outlineLevel="0" collapsed="false">
      <c r="A8" s="9" t="s">
        <v>55</v>
      </c>
      <c r="B8" s="10"/>
    </row>
    <row r="9" customFormat="false" ht="30" hidden="false" customHeight="true" outlineLevel="0" collapsed="false">
      <c r="A9" s="11" t="s">
        <v>56</v>
      </c>
      <c r="B9" s="12"/>
    </row>
    <row r="10" customFormat="false" ht="30" hidden="false" customHeight="true" outlineLevel="0" collapsed="false">
      <c r="A10" s="9" t="s">
        <v>57</v>
      </c>
      <c r="B10" s="10"/>
    </row>
    <row r="11" customFormat="false" ht="30" hidden="false" customHeight="true" outlineLevel="0" collapsed="false">
      <c r="A11" s="11" t="s">
        <v>58</v>
      </c>
      <c r="B11" s="12"/>
    </row>
    <row r="12" customFormat="false" ht="30" hidden="false" customHeight="true" outlineLevel="0" collapsed="false">
      <c r="A12" s="9" t="s">
        <v>59</v>
      </c>
      <c r="B12" s="10"/>
    </row>
    <row r="13" customFormat="false" ht="30" hidden="false" customHeight="true" outlineLevel="0" collapsed="false">
      <c r="A13" s="11" t="s">
        <v>60</v>
      </c>
      <c r="B13" s="12"/>
    </row>
    <row r="15" customFormat="false" ht="15" hidden="false" customHeight="false" outlineLevel="0" collapsed="false">
      <c r="A15" s="7" t="s">
        <v>30</v>
      </c>
      <c r="B15" s="8"/>
    </row>
    <row r="16" customFormat="false" ht="15" hidden="false" customHeight="false" outlineLevel="0" collapsed="false">
      <c r="A16" s="13" t="s">
        <v>31</v>
      </c>
      <c r="B16" s="14" t="n">
        <f aca="false">COUNTIF(B5:B13,"Yes")</f>
        <v>0</v>
      </c>
    </row>
    <row r="17" customFormat="false" ht="15" hidden="false" customHeight="false" outlineLevel="0" collapsed="false">
      <c r="A17" s="13" t="s">
        <v>32</v>
      </c>
      <c r="B17" s="15" t="n">
        <f aca="false">COUNTIF(B5:B13,"Yes")+COUNTIF(B5:B13,"No")</f>
        <v>0</v>
      </c>
    </row>
    <row r="18" customFormat="false" ht="15" hidden="false" customHeight="false" outlineLevel="0" collapsed="false">
      <c r="A18" s="16" t="s">
        <v>33</v>
      </c>
      <c r="B18" s="17" t="n">
        <f aca="false">IF((COUNTIF(B5:B13,"Yes")+COUNTIF(B5:B13,"No"))=0,0,COUNTIF(B5:B13,"Yes")/(COUNTIF(B5:B13,"Yes")+COUNTIF(B5:B13,"No")))</f>
        <v>0</v>
      </c>
    </row>
    <row r="19" customFormat="false" ht="15" hidden="false" customHeight="false" outlineLevel="0" collapsed="false">
      <c r="A19" s="13" t="s">
        <v>34</v>
      </c>
      <c r="B19" s="14" t="str">
        <f aca="false">IF((COUNTIF(B5:B13,"Yes")+COUNTIF(B5:B13,"No"))=0,"Not started",IF(COUNTIF(B5:B13,"No")&gt;0,"Open items remain","All clear"))</f>
        <v>Not started</v>
      </c>
    </row>
  </sheetData>
  <mergeCells count="2">
    <mergeCell ref="A1:B1"/>
    <mergeCell ref="A2:B2"/>
  </mergeCells>
  <dataValidations count="1">
    <dataValidation allowBlank="true" errorStyle="stop" operator="between" prompt="Mark Yes, No or N/A" promptTitle="Done?" showDropDown="false" showErrorMessage="false" showInputMessage="false" sqref="B5:B13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61</v>
      </c>
      <c r="B1" s="3"/>
    </row>
    <row r="2" customFormat="false" ht="27.75" hidden="false" customHeight="true" outlineLevel="0" collapsed="false">
      <c r="A2" s="4" t="s">
        <v>62</v>
      </c>
      <c r="B2" s="4"/>
    </row>
    <row r="4" customFormat="false" ht="15" hidden="false" customHeight="false" outlineLevel="0" collapsed="false">
      <c r="A4" s="5" t="s">
        <v>7</v>
      </c>
      <c r="B4" s="6" t="s">
        <v>8</v>
      </c>
    </row>
    <row r="5" customFormat="false" ht="15" hidden="false" customHeight="false" outlineLevel="0" collapsed="false">
      <c r="A5" s="7" t="s">
        <v>63</v>
      </c>
      <c r="B5" s="8"/>
    </row>
    <row r="6" customFormat="false" ht="30" hidden="false" customHeight="true" outlineLevel="0" collapsed="false">
      <c r="A6" s="9" t="s">
        <v>64</v>
      </c>
      <c r="B6" s="10"/>
    </row>
    <row r="7" customFormat="false" ht="30" hidden="false" customHeight="true" outlineLevel="0" collapsed="false">
      <c r="A7" s="11" t="s">
        <v>65</v>
      </c>
      <c r="B7" s="12"/>
    </row>
    <row r="8" customFormat="false" ht="30" hidden="false" customHeight="true" outlineLevel="0" collapsed="false">
      <c r="A8" s="9" t="s">
        <v>66</v>
      </c>
      <c r="B8" s="10"/>
    </row>
    <row r="9" customFormat="false" ht="30" hidden="false" customHeight="true" outlineLevel="0" collapsed="false">
      <c r="A9" s="11" t="s">
        <v>67</v>
      </c>
      <c r="B9" s="12"/>
    </row>
    <row r="10" customFormat="false" ht="15" hidden="false" customHeight="false" outlineLevel="0" collapsed="false">
      <c r="A10" s="7" t="s">
        <v>68</v>
      </c>
      <c r="B10" s="8"/>
    </row>
    <row r="11" customFormat="false" ht="30" hidden="false" customHeight="true" outlineLevel="0" collapsed="false">
      <c r="A11" s="11" t="s">
        <v>69</v>
      </c>
      <c r="B11" s="12"/>
    </row>
    <row r="12" customFormat="false" ht="30" hidden="false" customHeight="true" outlineLevel="0" collapsed="false">
      <c r="A12" s="9" t="s">
        <v>70</v>
      </c>
      <c r="B12" s="10"/>
    </row>
    <row r="13" customFormat="false" ht="30" hidden="false" customHeight="true" outlineLevel="0" collapsed="false">
      <c r="A13" s="11" t="s">
        <v>71</v>
      </c>
      <c r="B13" s="12"/>
    </row>
    <row r="14" customFormat="false" ht="30" hidden="false" customHeight="true" outlineLevel="0" collapsed="false">
      <c r="A14" s="9" t="s">
        <v>72</v>
      </c>
      <c r="B14" s="10"/>
    </row>
    <row r="15" customFormat="false" ht="30" hidden="false" customHeight="true" outlineLevel="0" collapsed="false">
      <c r="A15" s="11" t="s">
        <v>73</v>
      </c>
      <c r="B15" s="12"/>
    </row>
    <row r="16" customFormat="false" ht="30" hidden="false" customHeight="true" outlineLevel="0" collapsed="false">
      <c r="A16" s="9" t="s">
        <v>74</v>
      </c>
      <c r="B16" s="10"/>
    </row>
    <row r="17" customFormat="false" ht="15" hidden="false" customHeight="false" outlineLevel="0" collapsed="false">
      <c r="A17" s="7" t="s">
        <v>75</v>
      </c>
      <c r="B17" s="8"/>
    </row>
    <row r="18" customFormat="false" ht="30" hidden="false" customHeight="true" outlineLevel="0" collapsed="false">
      <c r="A18" s="9" t="s">
        <v>76</v>
      </c>
      <c r="B18" s="10"/>
    </row>
    <row r="19" customFormat="false" ht="30" hidden="false" customHeight="true" outlineLevel="0" collapsed="false">
      <c r="A19" s="11" t="s">
        <v>77</v>
      </c>
      <c r="B19" s="12"/>
    </row>
    <row r="20" customFormat="false" ht="15" hidden="false" customHeight="false" outlineLevel="0" collapsed="false">
      <c r="A20" s="7" t="s">
        <v>78</v>
      </c>
      <c r="B20" s="8"/>
    </row>
    <row r="21" customFormat="false" ht="30" hidden="false" customHeight="true" outlineLevel="0" collapsed="false">
      <c r="A21" s="11" t="s">
        <v>79</v>
      </c>
      <c r="B21" s="12"/>
    </row>
    <row r="22" customFormat="false" ht="30" hidden="false" customHeight="true" outlineLevel="0" collapsed="false">
      <c r="A22" s="9" t="s">
        <v>80</v>
      </c>
      <c r="B22" s="10"/>
    </row>
    <row r="23" customFormat="false" ht="30" hidden="false" customHeight="true" outlineLevel="0" collapsed="false">
      <c r="A23" s="11" t="s">
        <v>81</v>
      </c>
      <c r="B23" s="12"/>
    </row>
    <row r="24" customFormat="false" ht="30" hidden="false" customHeight="true" outlineLevel="0" collapsed="false">
      <c r="A24" s="9" t="s">
        <v>82</v>
      </c>
      <c r="B24" s="10"/>
    </row>
    <row r="25" customFormat="false" ht="30" hidden="false" customHeight="true" outlineLevel="0" collapsed="false">
      <c r="A25" s="11" t="s">
        <v>83</v>
      </c>
      <c r="B25" s="12"/>
    </row>
    <row r="27" customFormat="false" ht="15" hidden="false" customHeight="false" outlineLevel="0" collapsed="false">
      <c r="A27" s="7" t="s">
        <v>30</v>
      </c>
      <c r="B27" s="8"/>
    </row>
    <row r="28" customFormat="false" ht="15" hidden="false" customHeight="false" outlineLevel="0" collapsed="false">
      <c r="A28" s="13" t="s">
        <v>31</v>
      </c>
      <c r="B28" s="14" t="n">
        <f aca="false">COUNTIF(B6:B25,"Yes")</f>
        <v>0</v>
      </c>
    </row>
    <row r="29" customFormat="false" ht="15" hidden="false" customHeight="false" outlineLevel="0" collapsed="false">
      <c r="A29" s="13" t="s">
        <v>32</v>
      </c>
      <c r="B29" s="15" t="n">
        <f aca="false">COUNTIF(B6:B25,"Yes")+COUNTIF(B6:B25,"No")</f>
        <v>0</v>
      </c>
    </row>
    <row r="30" customFormat="false" ht="15" hidden="false" customHeight="false" outlineLevel="0" collapsed="false">
      <c r="A30" s="16" t="s">
        <v>33</v>
      </c>
      <c r="B30" s="17" t="n">
        <f aca="false">IF((COUNTIF(B6:B25,"Yes")+COUNTIF(B6:B25,"No"))=0,0,COUNTIF(B6:B25,"Yes")/(COUNTIF(B6:B25,"Yes")+COUNTIF(B6:B25,"No")))</f>
        <v>0</v>
      </c>
    </row>
    <row r="31" customFormat="false" ht="15" hidden="false" customHeight="false" outlineLevel="0" collapsed="false">
      <c r="A31" s="13" t="s">
        <v>34</v>
      </c>
      <c r="B31" s="14" t="str">
        <f aca="false">IF((COUNTIF(B6:B25,"Yes")+COUNTIF(B6:B25,"No"))=0,"Not started",IF(COUNTIF(B6:B25,"No")&gt;0,"Open items remain","All clear"))</f>
        <v>Not started</v>
      </c>
    </row>
  </sheetData>
  <mergeCells count="2">
    <mergeCell ref="A1:B1"/>
    <mergeCell ref="A2:B2"/>
  </mergeCells>
  <dataValidations count="1">
    <dataValidation allowBlank="true" errorStyle="stop" operator="between" prompt="Mark Yes, No or N/A" promptTitle="Done?" showDropDown="false" showErrorMessage="false" showInputMessage="false" sqref="B6:B9 B11:B16 B18:B19 B21:B25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84</v>
      </c>
      <c r="B1" s="3"/>
    </row>
    <row r="2" customFormat="false" ht="27.75" hidden="false" customHeight="true" outlineLevel="0" collapsed="false">
      <c r="A2" s="4" t="s">
        <v>85</v>
      </c>
      <c r="B2" s="4"/>
    </row>
    <row r="4" customFormat="false" ht="15" hidden="false" customHeight="false" outlineLevel="0" collapsed="false">
      <c r="A4" s="5" t="s">
        <v>7</v>
      </c>
      <c r="B4" s="6" t="s">
        <v>8</v>
      </c>
    </row>
    <row r="5" customFormat="false" ht="15" hidden="false" customHeight="false" outlineLevel="0" collapsed="false">
      <c r="A5" s="7" t="s">
        <v>86</v>
      </c>
      <c r="B5" s="8"/>
    </row>
    <row r="6" customFormat="false" ht="30" hidden="false" customHeight="true" outlineLevel="0" collapsed="false">
      <c r="A6" s="9" t="s">
        <v>87</v>
      </c>
      <c r="B6" s="10"/>
    </row>
    <row r="7" customFormat="false" ht="30" hidden="false" customHeight="true" outlineLevel="0" collapsed="false">
      <c r="A7" s="11" t="s">
        <v>88</v>
      </c>
      <c r="B7" s="12"/>
    </row>
    <row r="8" customFormat="false" ht="30" hidden="false" customHeight="true" outlineLevel="0" collapsed="false">
      <c r="A8" s="9" t="s">
        <v>89</v>
      </c>
      <c r="B8" s="10"/>
    </row>
    <row r="9" customFormat="false" ht="30" hidden="false" customHeight="true" outlineLevel="0" collapsed="false">
      <c r="A9" s="11" t="s">
        <v>90</v>
      </c>
      <c r="B9" s="12"/>
    </row>
    <row r="10" customFormat="false" ht="15" hidden="false" customHeight="false" outlineLevel="0" collapsed="false">
      <c r="A10" s="7" t="s">
        <v>91</v>
      </c>
      <c r="B10" s="8"/>
    </row>
    <row r="11" customFormat="false" ht="30" hidden="false" customHeight="true" outlineLevel="0" collapsed="false">
      <c r="A11" s="11" t="s">
        <v>92</v>
      </c>
      <c r="B11" s="12"/>
    </row>
    <row r="12" customFormat="false" ht="30" hidden="false" customHeight="true" outlineLevel="0" collapsed="false">
      <c r="A12" s="9" t="s">
        <v>93</v>
      </c>
      <c r="B12" s="10"/>
    </row>
    <row r="13" customFormat="false" ht="30" hidden="false" customHeight="true" outlineLevel="0" collapsed="false">
      <c r="A13" s="11" t="s">
        <v>94</v>
      </c>
      <c r="B13" s="12"/>
    </row>
    <row r="14" customFormat="false" ht="15" hidden="false" customHeight="false" outlineLevel="0" collapsed="false">
      <c r="A14" s="7" t="s">
        <v>95</v>
      </c>
      <c r="B14" s="8"/>
    </row>
    <row r="15" customFormat="false" ht="30" hidden="false" customHeight="true" outlineLevel="0" collapsed="false">
      <c r="A15" s="11" t="s">
        <v>96</v>
      </c>
      <c r="B15" s="12"/>
    </row>
    <row r="16" customFormat="false" ht="30" hidden="false" customHeight="true" outlineLevel="0" collapsed="false">
      <c r="A16" s="9" t="s">
        <v>97</v>
      </c>
      <c r="B16" s="10"/>
    </row>
    <row r="17" customFormat="false" ht="30" hidden="false" customHeight="true" outlineLevel="0" collapsed="false">
      <c r="A17" s="11" t="s">
        <v>98</v>
      </c>
      <c r="B17" s="12"/>
    </row>
    <row r="19" customFormat="false" ht="15" hidden="false" customHeight="false" outlineLevel="0" collapsed="false">
      <c r="A19" s="7" t="s">
        <v>30</v>
      </c>
      <c r="B19" s="8"/>
    </row>
    <row r="20" customFormat="false" ht="15" hidden="false" customHeight="false" outlineLevel="0" collapsed="false">
      <c r="A20" s="13" t="s">
        <v>31</v>
      </c>
      <c r="B20" s="14" t="n">
        <f aca="false">COUNTIF(B6:B17,"Yes")</f>
        <v>0</v>
      </c>
    </row>
    <row r="21" customFormat="false" ht="15" hidden="false" customHeight="false" outlineLevel="0" collapsed="false">
      <c r="A21" s="13" t="s">
        <v>32</v>
      </c>
      <c r="B21" s="15" t="n">
        <f aca="false">COUNTIF(B6:B17,"Yes")+COUNTIF(B6:B17,"No")</f>
        <v>0</v>
      </c>
    </row>
    <row r="22" customFormat="false" ht="15" hidden="false" customHeight="false" outlineLevel="0" collapsed="false">
      <c r="A22" s="16" t="s">
        <v>33</v>
      </c>
      <c r="B22" s="17" t="n">
        <f aca="false">IF((COUNTIF(B6:B17,"Yes")+COUNTIF(B6:B17,"No"))=0,0,COUNTIF(B6:B17,"Yes")/(COUNTIF(B6:B17,"Yes")+COUNTIF(B6:B17,"No")))</f>
        <v>0</v>
      </c>
    </row>
    <row r="23" customFormat="false" ht="15" hidden="false" customHeight="false" outlineLevel="0" collapsed="false">
      <c r="A23" s="13" t="s">
        <v>34</v>
      </c>
      <c r="B23" s="14" t="str">
        <f aca="false">IF((COUNTIF(B6:B17,"Yes")+COUNTIF(B6:B17,"No"))=0,"Not started",IF(COUNTIF(B6:B17,"No")&gt;0,"Open items remain","All clear"))</f>
        <v>Not started</v>
      </c>
    </row>
  </sheetData>
  <mergeCells count="2">
    <mergeCell ref="A1:B1"/>
    <mergeCell ref="A2:B2"/>
  </mergeCells>
  <dataValidations count="1">
    <dataValidation allowBlank="true" errorStyle="stop" operator="between" prompt="Mark Yes, No or N/A" promptTitle="Done?" showDropDown="false" showErrorMessage="false" showInputMessage="false" sqref="B6:B9 B11:B13 B15:B17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4" min="3" style="0" width="18"/>
  </cols>
  <sheetData>
    <row r="1" customFormat="false" ht="16.15" hidden="false" customHeight="false" outlineLevel="0" collapsed="false">
      <c r="A1" s="3" t="s">
        <v>99</v>
      </c>
      <c r="B1" s="3"/>
      <c r="C1" s="3"/>
      <c r="D1" s="3"/>
    </row>
    <row r="2" customFormat="false" ht="25.5" hidden="false" customHeight="true" outlineLevel="0" collapsed="false">
      <c r="A2" s="4" t="s">
        <v>100</v>
      </c>
      <c r="B2" s="4"/>
      <c r="C2" s="4"/>
      <c r="D2" s="4"/>
    </row>
    <row r="4" customFormat="false" ht="15" hidden="false" customHeight="false" outlineLevel="0" collapsed="false">
      <c r="A4" s="18" t="s">
        <v>101</v>
      </c>
      <c r="B4" s="18" t="s">
        <v>102</v>
      </c>
      <c r="C4" s="18" t="s">
        <v>103</v>
      </c>
      <c r="D4" s="18" t="s">
        <v>104</v>
      </c>
    </row>
    <row r="5" customFormat="false" ht="30" hidden="false" customHeight="true" outlineLevel="0" collapsed="false">
      <c r="A5" s="19" t="s">
        <v>105</v>
      </c>
      <c r="B5" s="9" t="s">
        <v>106</v>
      </c>
      <c r="C5" s="9" t="s">
        <v>107</v>
      </c>
      <c r="D5" s="9" t="s">
        <v>108</v>
      </c>
    </row>
    <row r="6" customFormat="false" ht="30" hidden="false" customHeight="true" outlineLevel="0" collapsed="false">
      <c r="A6" s="20" t="s">
        <v>109</v>
      </c>
      <c r="B6" s="11" t="s">
        <v>110</v>
      </c>
      <c r="C6" s="11" t="s">
        <v>111</v>
      </c>
      <c r="D6" s="11" t="s">
        <v>112</v>
      </c>
    </row>
    <row r="7" customFormat="false" ht="30" hidden="false" customHeight="true" outlineLevel="0" collapsed="false">
      <c r="A7" s="19" t="s">
        <v>113</v>
      </c>
      <c r="B7" s="9" t="s">
        <v>114</v>
      </c>
      <c r="C7" s="9" t="s">
        <v>115</v>
      </c>
      <c r="D7" s="9" t="s">
        <v>108</v>
      </c>
    </row>
    <row r="8" customFormat="false" ht="30" hidden="false" customHeight="true" outlineLevel="0" collapsed="false">
      <c r="A8" s="20" t="s">
        <v>116</v>
      </c>
      <c r="B8" s="11" t="s">
        <v>117</v>
      </c>
      <c r="C8" s="11" t="s">
        <v>107</v>
      </c>
      <c r="D8" s="11" t="s">
        <v>118</v>
      </c>
    </row>
    <row r="9" customFormat="false" ht="30" hidden="false" customHeight="true" outlineLevel="0" collapsed="false">
      <c r="A9" s="19" t="s">
        <v>119</v>
      </c>
      <c r="B9" s="9" t="s">
        <v>120</v>
      </c>
      <c r="C9" s="9" t="s">
        <v>111</v>
      </c>
      <c r="D9" s="9" t="s">
        <v>121</v>
      </c>
    </row>
    <row r="10" customFormat="false" ht="30" hidden="false" customHeight="true" outlineLevel="0" collapsed="false">
      <c r="A10" s="20" t="s">
        <v>122</v>
      </c>
      <c r="B10" s="11" t="s">
        <v>123</v>
      </c>
      <c r="C10" s="11" t="s">
        <v>124</v>
      </c>
      <c r="D10" s="11" t="s">
        <v>125</v>
      </c>
    </row>
    <row r="11" customFormat="false" ht="30" hidden="false" customHeight="true" outlineLevel="0" collapsed="false">
      <c r="A11" s="19" t="s">
        <v>126</v>
      </c>
      <c r="B11" s="9" t="s">
        <v>123</v>
      </c>
      <c r="C11" s="9" t="s">
        <v>127</v>
      </c>
      <c r="D11" s="9" t="s">
        <v>128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2026-06-17T21:06:28Z</dcterms:created>
  <dc:creator>openpyxl</dc:creator>
  <dc:description/>
  <dc:language>en-US</dc:language>
  <cp:lastModifiedBy/>
  <dcterms:modified xsi:type="dcterms:W3CDTF">2026-06-17T21:06:28Z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