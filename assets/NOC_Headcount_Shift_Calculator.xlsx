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C Headcou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<sst xmlns="http://schemas.openxmlformats.org/spreadsheetml/2006/main" count="44" uniqueCount="44">
  <si>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NOC Headcount &amp; Shift-Coverage Calculator</t>
  </si>
  <si>
    <t xml:space="preserve">Yellow cells are inputs — replace the example numbers with your real volumes. The required team is always the LARGER of the coverage answer and the workload answer.</t>
  </si>
  <si>
    <t xml:space="preserve">STEP 1 — COVERAGE: can someone always be there?</t>
  </si>
  <si>
    <t xml:space="preserve">Hours to cover per week</t>
  </si>
  <si>
    <t xml:space="preserve">168 = 24x7 · 120 = 12x7 · ~50 = business hours</t>
  </si>
  <si>
    <t xml:space="preserve">Productive hours per person per week</t>
  </si>
  <si>
    <t xml:space="preserve">after weekly offs, leave, training, breaks</t>
  </si>
  <si>
    <t xml:space="preserve">Coverage FTE</t>
  </si>
  <si>
    <t xml:space="preserve">Coverage roster (rounded up)</t>
  </si>
  <si>
    <t xml:space="preserve">STEP 2 — WORKLOAD: can the team process the volume?</t>
  </si>
  <si>
    <t xml:space="preserve">Alerts per week</t>
  </si>
  <si>
    <t xml:space="preserve">from the monitoring console</t>
  </si>
  <si>
    <t xml:space="preserve">Avg handle time per alert (minutes)</t>
  </si>
  <si>
    <t xml:space="preserve">triage, acknowledge, action, document</t>
  </si>
  <si>
    <t xml:space="preserve">Tickets per week routed to the NOC</t>
  </si>
  <si>
    <t xml:space="preserve">after-hours / weekend tickets routed to NOC</t>
  </si>
  <si>
    <t xml:space="preserve">Avg handle time per ticket (minutes)</t>
  </si>
  <si>
    <t xml:space="preserve">Effort hours per week</t>
  </si>
  <si>
    <t xml:space="preserve">Occupancy</t>
  </si>
  <si>
    <t xml:space="preserve">handover, watching the wall, breaks aren't effort time; keep under 0.85</t>
  </si>
  <si>
    <t xml:space="preserve">Effective capacity per person (hrs/week)</t>
  </si>
  <si>
    <t xml:space="preserve">Workload FTE</t>
  </si>
  <si>
    <t xml:space="preserve">Workload roster (rounded up)</t>
  </si>
  <si>
    <t xml:space="preserve">STEP 3 — THE ANSWER: the larger of the two</t>
  </si>
  <si>
    <t xml:space="preserve">Required team</t>
  </si>
  <si>
    <t xml:space="preserve">Current team size</t>
  </si>
  <si>
    <t xml:space="preserve">Additional hires needed</t>
  </si>
  <si>
    <t xml:space="preserve">Which test binds</t>
  </si>
  <si>
    <t xml:space="preserve">Peak-safety: occupancy if team = required</t>
  </si>
  <si>
    <t xml:space="preserve">keep under 0.85 or queues melt in an incident storm</t>
  </si>
  <si>
    <t xml:space="preserve">STEP 4 — PER-SHIFT REQUIREMENT (from observed volumes)</t>
  </si>
  <si>
    <t xml:space="preserve">Pull an hour-of-day report from monitoring and the ITSM for 4–6 weeks, bucket into the three shifts, type the volumes below.</t>
  </si>
  <si>
    <t xml:space="preserve">Shift</t>
  </si>
  <si>
    <t xml:space="preserve">Alerts/wk</t>
  </si>
  <si>
    <t xml:space="preserve">Tickets/wk</t>
  </si>
  <si>
    <t xml:space="preserve">Effort hrs/day</t>
  </si>
  <si>
    <t xml:space="preserve">On-duty needed</t>
  </si>
  <si>
    <t xml:space="preserve">Utilisation</t>
  </si>
  <si>
    <t xml:space="preserve">Morning (06–14)</t>
  </si>
  <si>
    <t xml:space="preserve">Afternoon (14–22)</t>
  </si>
  <si>
    <t xml:space="preserve">Night (22–06)</t>
  </si>
  <si>
    <t xml:space="preserve">Roster the pattern: headcount needed</t>
  </si>
  <si>
    <t xml:space="preserve">on-duty slots x 7 days x 8 hrs / productive hrs per person</t>
  </si>
  <si>
    <t xml:space="preserve">Cross-check vs Step 3 required team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</si>
</sst>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203A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203A"/>
        <bgColor rgb="FF333333"/>
      </patternFill>
    </fill>
    <fill>
      <patternFill patternType="solid">
        <fgColor rgb="FFFFF4CC"/>
        <bgColor rgb="FFEAF3EF"/>
      </patternFill>
    </fill>
    <fill>
      <patternFill patternType="solid">
        <fgColor rgb="FF0E7C66"/>
        <bgColor rgb="FF008080"/>
      </patternFill>
    </fill>
    <fill>
      <patternFill patternType="solid">
        <fgColor rgb="FFEAF3EF"/>
        <bgColor rgb="FFE4E7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C0C0C0"/>
      <rgbColor rgb="FF808080"/>
      <rgbColor rgb="FF9999FF"/>
      <rgbColor rgb="FF993366"/>
      <rgbColor rgb="FFFFF4CC"/>
      <rgbColor rgb="FFEAF3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7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11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168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33</v>
      </c>
      <c r="C6" s="6" t="s">
        <v>6</v>
      </c>
    </row>
    <row r="7" customFormat="false" ht="15" hidden="false" customHeight="false" outlineLevel="0" collapsed="false">
      <c r="A7" s="4" t="s">
        <v>7</v>
      </c>
      <c r="B7" s="7" t="n">
        <f aca="false">B5/B6</f>
        <v>5.09090909090909</v>
      </c>
    </row>
    <row r="8" customFormat="false" ht="15" hidden="false" customHeight="false" outlineLevel="0" collapsed="false">
      <c r="A8" s="8" t="s">
        <v>8</v>
      </c>
      <c r="B8" s="9" t="n">
        <f aca="false">ROUNDUP(B7,0)</f>
        <v>6</v>
      </c>
    </row>
    <row r="10" customFormat="false" ht="15" hidden="false" customHeight="true" outlineLevel="0" collapsed="false">
      <c r="A10" s="3" t="s">
        <v>9</v>
      </c>
      <c r="B10" s="3"/>
      <c r="C10" s="3"/>
    </row>
    <row r="11" customFormat="false" ht="15" hidden="false" customHeight="false" outlineLevel="0" collapsed="false">
      <c r="A11" s="4" t="s">
        <v>10</v>
      </c>
      <c r="B11" s="5" t="n">
        <v>1500</v>
      </c>
      <c r="C11" s="6" t="s">
        <v>11</v>
      </c>
    </row>
    <row r="12" customFormat="false" ht="15" hidden="false" customHeight="false" outlineLevel="0" collapsed="false">
      <c r="A12" s="4" t="s">
        <v>12</v>
      </c>
      <c r="B12" s="5" t="n">
        <v>4</v>
      </c>
      <c r="C12" s="6" t="s">
        <v>13</v>
      </c>
    </row>
    <row r="13" customFormat="false" ht="15" hidden="false" customHeight="false" outlineLevel="0" collapsed="false">
      <c r="A13" s="4" t="s">
        <v>14</v>
      </c>
      <c r="B13" s="5" t="n">
        <v>800</v>
      </c>
      <c r="C13" s="6" t="s">
        <v>15</v>
      </c>
    </row>
    <row r="14" customFormat="false" ht="15" hidden="false" customHeight="false" outlineLevel="0" collapsed="false">
      <c r="A14" s="4" t="s">
        <v>16</v>
      </c>
      <c r="B14" s="5" t="n">
        <v>15</v>
      </c>
    </row>
    <row r="15" customFormat="false" ht="15" hidden="false" customHeight="false" outlineLevel="0" collapsed="false">
      <c r="A15" s="4" t="s">
        <v>17</v>
      </c>
      <c r="B15" s="9" t="n">
        <f aca="false">(B11*B12+B13*B14)/60</f>
        <v>300</v>
      </c>
    </row>
    <row r="16" customFormat="false" ht="22.35" hidden="false" customHeight="false" outlineLevel="0" collapsed="false">
      <c r="A16" s="4" t="s">
        <v>18</v>
      </c>
      <c r="B16" s="5" t="n">
        <v>0.7</v>
      </c>
      <c r="C16" s="6" t="s">
        <v>19</v>
      </c>
    </row>
    <row r="17" customFormat="false" ht="15" hidden="false" customHeight="false" outlineLevel="0" collapsed="false">
      <c r="A17" s="4" t="s">
        <v>20</v>
      </c>
      <c r="B17" s="7" t="n">
        <f aca="false">B6*B16</f>
        <v>23.1</v>
      </c>
    </row>
    <row r="18" customFormat="false" ht="15" hidden="false" customHeight="false" outlineLevel="0" collapsed="false">
      <c r="A18" s="4" t="s">
        <v>21</v>
      </c>
      <c r="B18" s="7" t="n">
        <f aca="false">B15/B17</f>
        <v>12.987012987013</v>
      </c>
    </row>
    <row r="19" customFormat="false" ht="15" hidden="false" customHeight="false" outlineLevel="0" collapsed="false">
      <c r="A19" s="8" t="s">
        <v>22</v>
      </c>
      <c r="B19" s="9" t="n">
        <f aca="false">ROUNDUP(B18,0)</f>
        <v>13</v>
      </c>
    </row>
    <row r="21" customFormat="false" ht="15" hidden="false" customHeight="true" outlineLevel="0" collapsed="false">
      <c r="A21" s="3" t="s">
        <v>23</v>
      </c>
      <c r="B21" s="3"/>
      <c r="C21" s="3"/>
    </row>
    <row r="22" customFormat="false" ht="15" hidden="false" customHeight="false" outlineLevel="0" collapsed="false">
      <c r="A22" s="8" t="s">
        <v>24</v>
      </c>
      <c r="B22" s="9" t="n">
        <f aca="false">MAX(B8,B19)</f>
        <v>13</v>
      </c>
    </row>
    <row r="23" customFormat="false" ht="15" hidden="false" customHeight="false" outlineLevel="0" collapsed="false">
      <c r="A23" s="4" t="s">
        <v>25</v>
      </c>
      <c r="B23" s="5" t="n">
        <v>6</v>
      </c>
    </row>
    <row r="24" customFormat="false" ht="15" hidden="false" customHeight="false" outlineLevel="0" collapsed="false">
      <c r="A24" s="8" t="s">
        <v>26</v>
      </c>
      <c r="B24" s="9" t="n">
        <f aca="false">MAX(0,B22-B23)</f>
        <v>7</v>
      </c>
    </row>
    <row r="25" customFormat="false" ht="30" hidden="false" customHeight="true" outlineLevel="0" collapsed="false">
      <c r="A25" s="4" t="s">
        <v>27</v>
      </c>
      <c r="B25" s="10" t="str">
        <f aca="false">IF(B19&gt;B8,"WORKLOAD binds: volume exceeds what coverage staffing can process — the growth trigger.",IF(B8&gt;B19,"COVERAGE binds: you need bodies for the hours, not the volume yet.","Coverage and workload agree."))</f>
        <v>WORKLOAD binds: volume exceeds what coverage staffing can process — the growth trigger.</v>
      </c>
      <c r="C25" s="10"/>
    </row>
    <row r="26" customFormat="false" ht="15" hidden="false" customHeight="false" outlineLevel="0" collapsed="false">
      <c r="A26" s="4" t="s">
        <v>28</v>
      </c>
      <c r="B26" s="11" t="n">
        <f aca="false">B15/(B22*B6)</f>
        <v>0.699300699300699</v>
      </c>
      <c r="C26" s="6" t="s">
        <v>29</v>
      </c>
    </row>
    <row r="28" customFormat="false" ht="15" hidden="false" customHeight="true" outlineLevel="0" collapsed="false">
      <c r="A28" s="3" t="s">
        <v>30</v>
      </c>
      <c r="B28" s="3"/>
      <c r="C28" s="3"/>
    </row>
    <row r="29" customFormat="false" ht="27.75" hidden="false" customHeight="true" outlineLevel="0" collapsed="false">
      <c r="A29" s="12" t="s">
        <v>31</v>
      </c>
      <c r="B29" s="12"/>
      <c r="C29" s="12"/>
    </row>
    <row r="30" customFormat="false" ht="26.85" hidden="false" customHeight="false" outlineLevel="0" collapsed="false">
      <c r="A30" s="13" t="s">
        <v>32</v>
      </c>
      <c r="B30" s="13" t="s">
        <v>33</v>
      </c>
      <c r="C30" s="13" t="s">
        <v>34</v>
      </c>
      <c r="D30" s="13" t="s">
        <v>35</v>
      </c>
      <c r="E30" s="13" t="s">
        <v>36</v>
      </c>
      <c r="F30" s="13" t="s">
        <v>37</v>
      </c>
    </row>
    <row r="31" customFormat="false" ht="15" hidden="false" customHeight="false" outlineLevel="0" collapsed="false">
      <c r="A31" s="14" t="s">
        <v>38</v>
      </c>
      <c r="B31" s="15" t="n">
        <v>300</v>
      </c>
      <c r="C31" s="15" t="n">
        <v>100</v>
      </c>
      <c r="D31" s="16" t="n">
        <f aca="false">(B31*$B$12+C31*$B$14)/60/7</f>
        <v>6.42857142857143</v>
      </c>
      <c r="E31" s="17" t="n">
        <f aca="false">MAX(1,ROUNDUP(D31/($B$6/7*$B$16),0))</f>
        <v>2</v>
      </c>
      <c r="F31" s="18" t="n">
        <f aca="false">D31/(E31*($B$6/7*$B$16))</f>
        <v>0.974025974025974</v>
      </c>
    </row>
    <row r="32" customFormat="false" ht="15" hidden="false" customHeight="false" outlineLevel="0" collapsed="false">
      <c r="A32" s="19" t="s">
        <v>39</v>
      </c>
      <c r="B32" s="15" t="n">
        <v>500</v>
      </c>
      <c r="C32" s="15" t="n">
        <v>250</v>
      </c>
      <c r="D32" s="20" t="n">
        <f aca="false">(B32*$B$12+C32*$B$14)/60/7</f>
        <v>13.6904761904762</v>
      </c>
      <c r="E32" s="21" t="n">
        <f aca="false">MAX(1,ROUNDUP(D32/($B$6/7*$B$16),0))</f>
        <v>5</v>
      </c>
      <c r="F32" s="22" t="n">
        <f aca="false">D32/(E32*($B$6/7*$B$16))</f>
        <v>0.82972582972583</v>
      </c>
    </row>
    <row r="33" customFormat="false" ht="15" hidden="false" customHeight="false" outlineLevel="0" collapsed="false">
      <c r="A33" s="14" t="s">
        <v>40</v>
      </c>
      <c r="B33" s="15" t="n">
        <v>700</v>
      </c>
      <c r="C33" s="15" t="n">
        <v>450</v>
      </c>
      <c r="D33" s="16" t="n">
        <f aca="false">(B33*$B$12+C33*$B$14)/60/7</f>
        <v>22.7380952380952</v>
      </c>
      <c r="E33" s="17" t="n">
        <f aca="false">MAX(1,ROUNDUP(D33/($B$6/7*$B$16),0))</f>
        <v>7</v>
      </c>
      <c r="F33" s="18" t="n">
        <f aca="false">D33/(E33*($B$6/7*$B$16))</f>
        <v>0.98433312719027</v>
      </c>
    </row>
    <row r="34" customFormat="false" ht="15" hidden="false" customHeight="false" outlineLevel="0" collapsed="false">
      <c r="A34" s="8" t="s">
        <v>41</v>
      </c>
      <c r="B34" s="9" t="n">
        <f aca="false">ROUNDUP(SUM(E31:E33)*7*8/B6,0)</f>
        <v>24</v>
      </c>
      <c r="C34" s="6" t="s">
        <v>42</v>
      </c>
    </row>
    <row r="35" customFormat="false" ht="25.5" hidden="false" customHeight="true" outlineLevel="0" collapsed="false">
      <c r="A35" s="4" t="s">
        <v>43</v>
      </c>
      <c r="B35" s="12" t="str">
        <f aca="false">IF(B34&gt;=B22,"Per-shift method binds or matches — use the larger.","Step 3 figure stands.")</f>
        <v>Per-shift method binds or matches — use the larger.</v>
      </c>
      <c r="C35" s="12"/>
    </row>
  </sheetData>
  <mergeCells count="9">
    <mergeCell ref="A1:C1"/>
    <mergeCell ref="A2:C2"/>
    <mergeCell ref="A4:C4"/>
    <mergeCell ref="A10:C10"/>
    <mergeCell ref="A21:C21"/>
    <mergeCell ref="B25:C25"/>
    <mergeCell ref="A28:C28"/>
    <mergeCell ref="A29:C29"/>
    <mergeCell ref="B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2026-06-17T21:06:28Z</dcterms:created>
  <dc:creator>openpyxl</dc:creator>
  <dc:description/>
  <dc:language>en-US</dc:language>
  <cp:lastModifiedBy/>
  <dcterms:modified xsi:type="dcterms:W3CDTF">2026-06-17T21:06:28Z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